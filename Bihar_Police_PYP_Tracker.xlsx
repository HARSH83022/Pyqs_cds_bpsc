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ing Master" sheetId="1" state="visible" r:id="rId3"/>
    <sheet name="Download Sources" sheetId="2" state="visible" r:id="rId4"/>
    <sheet name="Folder Structure" sheetId="3" state="visible" r:id="rId5"/>
    <sheet name="Quick Reference" sheetId="4" state="visible" r:id="rId6"/>
    <sheet name="Statist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<sst xmlns="http://schemas.openxmlformats.org/spreadsheetml/2006/main" count="456" uniqueCount="176">
  <si>
    <t xml:space="preserve">Exam Date</t>
  </si>
  <si>
    <t xml:space="preserve">Shift</t>
  </si>
  <si>
    <t xml:space="preserve">English</t>
  </si>
  <si>
    <t xml:space="preserve">Hindi</t>
  </si>
  <si>
    <t xml:space="preserve">Quality Status</t>
  </si>
  <si>
    <t xml:space="preserve">Downloaded</t>
  </si>
  <si>
    <t xml:space="preserve">Verified</t>
  </si>
  <si>
    <t xml:space="preserve">Uploaded to Drive</t>
  </si>
  <si>
    <t xml:space="preserve">File Name</t>
  </si>
  <si>
    <t xml:space="preserve">Source</t>
  </si>
  <si>
    <t xml:space="preserve">Notes</t>
  </si>
  <si>
    <t xml:space="preserve">2024-07-16</t>
  </si>
  <si>
    <t xml:space="preserve">1</t>
  </si>
  <si>
    <t xml:space="preserve">☐</t>
  </si>
  <si>
    <t xml:space="preserve">Pending</t>
  </si>
  <si>
    <t xml:space="preserve">Testbook</t>
  </si>
  <si>
    <t xml:space="preserve">Multi-shift format</t>
  </si>
  <si>
    <t xml:space="preserve">2</t>
  </si>
  <si>
    <t xml:space="preserve">2024-07-20</t>
  </si>
  <si>
    <t xml:space="preserve">CareerPower</t>
  </si>
  <si>
    <t xml:space="preserve">2024-07-23</t>
  </si>
  <si>
    <t xml:space="preserve">TutorialsDuniya</t>
  </si>
  <si>
    <t xml:space="preserve">2024-07-27</t>
  </si>
  <si>
    <t xml:space="preserve">2024-07-30</t>
  </si>
  <si>
    <t xml:space="preserve">2024-08-03</t>
  </si>
  <si>
    <t xml:space="preserve">2023-10-01</t>
  </si>
  <si>
    <t xml:space="preserve">✅</t>
  </si>
  <si>
    <t xml:space="preserve">High</t>
  </si>
  <si>
    <t xml:space="preserve">2023-10-01_Shift1_English</t>
  </si>
  <si>
    <t xml:space="preserve">PRIORITY: High-quality searchable</t>
  </si>
  <si>
    <t xml:space="preserve">2023-10-01_Shift2_Hindi</t>
  </si>
  <si>
    <t xml:space="preserve">Solutions available</t>
  </si>
  <si>
    <t xml:space="preserve">2022</t>
  </si>
  <si>
    <t xml:space="preserve">2022_Shift1_English</t>
  </si>
  <si>
    <t xml:space="preserve">2022_Shift2_Hindi</t>
  </si>
  <si>
    <t xml:space="preserve">2021</t>
  </si>
  <si>
    <t xml:space="preserve">2020</t>
  </si>
  <si>
    <t xml:space="preserve">2019</t>
  </si>
  <si>
    <t xml:space="preserve">2018</t>
  </si>
  <si>
    <t xml:space="preserve">2017</t>
  </si>
  <si>
    <t xml:space="preserve">Medium</t>
  </si>
  <si>
    <t xml:space="preserve">Limited availability</t>
  </si>
  <si>
    <t xml:space="preserve">2016</t>
  </si>
  <si>
    <t xml:space="preserve">2015</t>
  </si>
  <si>
    <t xml:space="preserve">-</t>
  </si>
  <si>
    <t xml:space="preserve">⚠️</t>
  </si>
  <si>
    <t xml:space="preserve">Low</t>
  </si>
  <si>
    <t xml:space="preserve">Scanned PDF - Last resort</t>
  </si>
  <si>
    <t xml:space="preserve">2014</t>
  </si>
  <si>
    <t xml:space="preserve">Image format - Archival</t>
  </si>
  <si>
    <t xml:space="preserve">2012</t>
  </si>
  <si>
    <t xml:space="preserve">Reference only</t>
  </si>
  <si>
    <t xml:space="preserve">2010</t>
  </si>
  <si>
    <t xml:space="preserve">Rare - Archival</t>
  </si>
  <si>
    <t xml:space="preserve">Rank</t>
  </si>
  <si>
    <t xml:space="preserve">Platform</t>
  </si>
  <si>
    <t xml:space="preserve">Website</t>
  </si>
  <si>
    <t xml:space="preserve">Papers Available</t>
  </si>
  <si>
    <t xml:space="preserve">Quality</t>
  </si>
  <si>
    <t xml:space="preserve">Language</t>
  </si>
  <si>
    <t xml:space="preserve">With Solutions</t>
  </si>
  <si>
    <t xml:space="preserve">1 (BEST)</t>
  </si>
  <si>
    <t xml:space="preserve">testbook.com/bihar-police-constable/previous-year-papers</t>
  </si>
  <si>
    <t xml:space="preserve">2012-2024 (7+ years)</t>
  </si>
  <si>
    <t xml:space="preserve">Hindi + English</t>
  </si>
  <si>
    <t xml:space="preserve">Yes</t>
  </si>
  <si>
    <t xml:space="preserve">Most complete &amp; searchable</t>
  </si>
  <si>
    <t xml:space="preserve">careerpower.in/bihar-police-constable</t>
  </si>
  <si>
    <t xml:space="preserve">2010-2023 Shift-wise</t>
  </si>
  <si>
    <t xml:space="preserve">Well-organized with solutions</t>
  </si>
  <si>
    <t xml:space="preserve">3</t>
  </si>
  <si>
    <t xml:space="preserve">tutorialsduniya.com/bihar-police-previous-year-question-papers</t>
  </si>
  <si>
    <t xml:space="preserve">2016-2024 Shift-wise</t>
  </si>
  <si>
    <t xml:space="preserve">Comprehensive archive</t>
  </si>
  <si>
    <t xml:space="preserve">4</t>
  </si>
  <si>
    <t xml:space="preserve">Adda247</t>
  </si>
  <si>
    <t xml:space="preserve">adda247.com/jobs/bihar-police-constable</t>
  </si>
  <si>
    <t xml:space="preserve">2021-2024 Shift-wise</t>
  </si>
  <si>
    <t xml:space="preserve">English + Hindi</t>
  </si>
  <si>
    <t xml:space="preserve">Limited</t>
  </si>
  <si>
    <t xml:space="preserve">Recent papers, good quality</t>
  </si>
  <si>
    <t xml:space="preserve">5</t>
  </si>
  <si>
    <t xml:space="preserve">Utkarsh Classes</t>
  </si>
  <si>
    <t xml:space="preserve">utkarsh.com/exams/bihar-police-constable</t>
  </si>
  <si>
    <t xml:space="preserve">2023-2024 Selected</t>
  </si>
  <si>
    <t xml:space="preserve">Exam analysis included</t>
  </si>
  <si>
    <t xml:space="preserve">Backup</t>
  </si>
  <si>
    <t xml:space="preserve">Toppersexam</t>
  </si>
  <si>
    <t xml:space="preserve">toppersexam.com/BIHAR-POLICE-CONSTABLE</t>
  </si>
  <si>
    <t xml:space="preserve">Mixed years</t>
  </si>
  <si>
    <t xml:space="preserve">Variable</t>
  </si>
  <si>
    <t xml:space="preserve">Community uploads - verify</t>
  </si>
  <si>
    <t xml:space="preserve">RECOMMENDED GOOGLE DRIVE FOLDER STRUCTURE</t>
  </si>
  <si>
    <t xml:space="preserve">Bihar Police Constable PYPs (Main Folder)</t>
  </si>
  <si>
    <t xml:space="preserve">├─ 2024 Exam Papers</t>
  </si>
  <si>
    <t xml:space="preserve">PRIORITY - Latest papers</t>
  </si>
  <si>
    <t xml:space="preserve">│  ├─ 2024-07-16_Shift1</t>
  </si>
  <si>
    <t xml:space="preserve">Format: [Date]_Shift[X]</t>
  </si>
  <si>
    <t xml:space="preserve">│  ├─ 2024-07-16_Shift2</t>
  </si>
  <si>
    <t xml:space="preserve">│  ├─ 2024-07-20_Shift1</t>
  </si>
  <si>
    <t xml:space="preserve">│  ├─ 2024-07-20_Shift2</t>
  </si>
  <si>
    <t xml:space="preserve">│  ├─ 2024-07-23_Shift1</t>
  </si>
  <si>
    <t xml:space="preserve">│  ├─ 2024-07-23_Shift2</t>
  </si>
  <si>
    <t xml:space="preserve">│  ├─ 2024-07-27_Shift1</t>
  </si>
  <si>
    <t xml:space="preserve">│  ├─ 2024-07-27_Shift2</t>
  </si>
  <si>
    <t xml:space="preserve">│  ├─ 2024-07-30_Shift1</t>
  </si>
  <si>
    <t xml:space="preserve">│  ├─ 2024-07-30_Shift2</t>
  </si>
  <si>
    <t xml:space="preserve">│  ├─ 2024-08-03_Shift1</t>
  </si>
  <si>
    <t xml:space="preserve">│  └─ 2024-08-03_Shift2</t>
  </si>
  <si>
    <t xml:space="preserve">├─ 2023 Exam Papers</t>
  </si>
  <si>
    <t xml:space="preserve">Complete &amp; high-quality</t>
  </si>
  <si>
    <t xml:space="preserve">│  ├─ 2023-10-01_Shift1</t>
  </si>
  <si>
    <t xml:space="preserve">│  └─ 2023-10-01_Shift2</t>
  </si>
  <si>
    <t xml:space="preserve">├─ 2022 Exam Papers</t>
  </si>
  <si>
    <t xml:space="preserve">Shift-wise</t>
  </si>
  <si>
    <t xml:space="preserve">│  ├─ 2022-Shift1</t>
  </si>
  <si>
    <t xml:space="preserve">│  └─ 2022-Shift2</t>
  </si>
  <si>
    <t xml:space="preserve">├─ 2021 Exam Papers</t>
  </si>
  <si>
    <t xml:space="preserve">Historical</t>
  </si>
  <si>
    <t xml:space="preserve">├─ 2020 Exam Papers</t>
  </si>
  <si>
    <t xml:space="preserve">├─ 2019 Exam Papers</t>
  </si>
  <si>
    <t xml:space="preserve">├─ 2018 Exam Papers</t>
  </si>
  <si>
    <t xml:space="preserve">├─ 2017 Exam Papers</t>
  </si>
  <si>
    <t xml:space="preserve">├─ 2016 Exam Papers</t>
  </si>
  <si>
    <t xml:space="preserve">├─ 2015-2010 Archive</t>
  </si>
  <si>
    <t xml:space="preserve">Pre-2016 papers</t>
  </si>
  <si>
    <t xml:space="preserve">├─ Solutions &amp; Answer Keys</t>
  </si>
  <si>
    <t xml:space="preserve">Organized by year</t>
  </si>
  <si>
    <t xml:space="preserve">│  ├─ 2024 Solutions</t>
  </si>
  <si>
    <t xml:space="preserve">│  ├─ 2023 Solutions</t>
  </si>
  <si>
    <t xml:space="preserve">│  └─ Earlier Solutions</t>
  </si>
  <si>
    <t xml:space="preserve">└─ Reference Materials</t>
  </si>
  <si>
    <t xml:space="preserve">Meta-documents</t>
  </si>
  <si>
    <t xml:space="preserve">   ├─ Exam Pattern Overview</t>
  </si>
  <si>
    <t xml:space="preserve">Format &amp; structure info</t>
  </si>
  <si>
    <t xml:space="preserve">   ├─ Syllabus Document</t>
  </si>
  <si>
    <t xml:space="preserve">   ├─ Tracking Spreadsheet</t>
  </si>
  <si>
    <t xml:space="preserve">This file</t>
  </si>
  <si>
    <t xml:space="preserve">   └─ Exam Dates &amp; Shifts</t>
  </si>
  <si>
    <t xml:space="preserve">Complete timeline</t>
  </si>
  <si>
    <t xml:space="preserve">Task</t>
  </si>
  <si>
    <t xml:space="preserve">Action Required</t>
  </si>
  <si>
    <t xml:space="preserve">Status</t>
  </si>
  <si>
    <t xml:space="preserve">Priority Papers</t>
  </si>
  <si>
    <t xml:space="preserve">Download 2023-2024 papers first (latest, highest quality)</t>
  </si>
  <si>
    <t xml:space="preserve">⚠️ IN PROGRESS</t>
  </si>
  <si>
    <t xml:space="preserve">Quality Check</t>
  </si>
  <si>
    <t xml:space="preserve">Verify text is searchable in PDF (Ctrl+F test)</t>
  </si>
  <si>
    <t xml:space="preserve">⏳ NEXT</t>
  </si>
  <si>
    <t xml:space="preserve">Naming Convention</t>
  </si>
  <si>
    <t xml:space="preserve">Format: YYYY-MM-DD_BiharPoliceConstable_Shift-X_Language_Source.pdf</t>
  </si>
  <si>
    <t xml:space="preserve">📋 READY</t>
  </si>
  <si>
    <t xml:space="preserve">Folder Structure</t>
  </si>
  <si>
    <t xml:space="preserve">Create date-based folders in Google Drive</t>
  </si>
  <si>
    <t xml:space="preserve">Systematic Upload</t>
  </si>
  <si>
    <t xml:space="preserve">Upload alphabetically by date, track progress</t>
  </si>
  <si>
    <t xml:space="preserve">⏳ PENDING</t>
  </si>
  <si>
    <t xml:space="preserve">Solutions Collection</t>
  </si>
  <si>
    <t xml:space="preserve">Compile answer keys from various sources</t>
  </si>
  <si>
    <t xml:space="preserve">⏳ LATER</t>
  </si>
  <si>
    <t xml:space="preserve">Reference Files</t>
  </si>
  <si>
    <t xml:space="preserve">Add exam pattern &amp; syllabus documents</t>
  </si>
  <si>
    <t xml:space="preserve">Final Verification</t>
  </si>
  <si>
    <t xml:space="preserve">Cross-check with Play Store ebook for completeness</t>
  </si>
  <si>
    <t xml:space="preserve">⏳ LAST</t>
  </si>
  <si>
    <t xml:space="preserve">COLLECTION STATISTICS</t>
  </si>
  <si>
    <t xml:space="preserve">Total Papers Identified:</t>
  </si>
  <si>
    <t xml:space="preserve">Papers Downloaded:</t>
  </si>
  <si>
    <t xml:space="preserve">Papers Verified:</t>
  </si>
  <si>
    <t xml:space="preserve">Papers Uploaded to Drive:</t>
  </si>
  <si>
    <t xml:space="preserve">Completion %:</t>
  </si>
  <si>
    <t xml:space="preserve">By Year</t>
  </si>
  <si>
    <t xml:space="preserve">Count</t>
  </si>
  <si>
    <t xml:space="preserve">2024</t>
  </si>
  <si>
    <t xml:space="preserve">2023</t>
  </si>
  <si>
    <t xml:space="preserve">Pre-2020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</si>
</sst>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8F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4" min="3" style="0" width="12"/>
    <col collapsed="false" customWidth="true" hidden="false" outlineLevel="0" max="5" min="5" style="0" width="15"/>
    <col collapsed="false" customWidth="true" hidden="false" outlineLevel="0" max="7" min="6" style="0" width="12"/>
    <col collapsed="false" customWidth="true" hidden="false" outlineLevel="0" max="8" min="8" style="0" width="15"/>
    <col collapsed="false" customWidth="true" hidden="false" outlineLevel="0" max="9" min="9" style="0" width="35"/>
    <col collapsed="false" customWidth="true" hidden="false" outlineLevel="0" max="10" min="10" style="0" width="18"/>
    <col collapsed="false" customWidth="true" hidden="false" outlineLevel="0" max="11" min="11" style="0" width="25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13</v>
      </c>
      <c r="E2" s="2" t="s">
        <v>14</v>
      </c>
      <c r="F2" s="2" t="s">
        <v>13</v>
      </c>
      <c r="G2" s="2" t="s">
        <v>13</v>
      </c>
      <c r="H2" s="2" t="s">
        <v>13</v>
      </c>
      <c r="I2" s="2"/>
      <c r="J2" s="2" t="s">
        <v>15</v>
      </c>
      <c r="K2" s="2" t="s">
        <v>16</v>
      </c>
    </row>
    <row r="3" customFormat="false" ht="15" hidden="false" customHeight="false" outlineLevel="0" collapsed="false">
      <c r="A3" s="3" t="s">
        <v>11</v>
      </c>
      <c r="B3" s="3" t="s">
        <v>17</v>
      </c>
      <c r="C3" s="3" t="s">
        <v>13</v>
      </c>
      <c r="D3" s="3" t="s">
        <v>13</v>
      </c>
      <c r="E3" s="3" t="s">
        <v>14</v>
      </c>
      <c r="F3" s="3" t="s">
        <v>13</v>
      </c>
      <c r="G3" s="3" t="s">
        <v>13</v>
      </c>
      <c r="H3" s="3" t="s">
        <v>13</v>
      </c>
      <c r="I3" s="3"/>
      <c r="J3" s="3" t="s">
        <v>15</v>
      </c>
      <c r="K3" s="3"/>
    </row>
    <row r="4" customFormat="false" ht="15" hidden="false" customHeight="false" outlineLevel="0" collapsed="false">
      <c r="A4" s="2" t="s">
        <v>18</v>
      </c>
      <c r="B4" s="2" t="s">
        <v>12</v>
      </c>
      <c r="C4" s="2" t="s">
        <v>13</v>
      </c>
      <c r="D4" s="2" t="s">
        <v>13</v>
      </c>
      <c r="E4" s="2" t="s">
        <v>14</v>
      </c>
      <c r="F4" s="2" t="s">
        <v>13</v>
      </c>
      <c r="G4" s="2" t="s">
        <v>13</v>
      </c>
      <c r="H4" s="2" t="s">
        <v>13</v>
      </c>
      <c r="I4" s="2"/>
      <c r="J4" s="2" t="s">
        <v>19</v>
      </c>
      <c r="K4" s="2"/>
    </row>
    <row r="5" customFormat="false" ht="15" hidden="false" customHeight="false" outlineLevel="0" collapsed="false">
      <c r="A5" s="3" t="s">
        <v>18</v>
      </c>
      <c r="B5" s="3" t="s">
        <v>17</v>
      </c>
      <c r="C5" s="3" t="s">
        <v>13</v>
      </c>
      <c r="D5" s="3" t="s">
        <v>13</v>
      </c>
      <c r="E5" s="3" t="s">
        <v>14</v>
      </c>
      <c r="F5" s="3" t="s">
        <v>13</v>
      </c>
      <c r="G5" s="3" t="s">
        <v>13</v>
      </c>
      <c r="H5" s="3" t="s">
        <v>13</v>
      </c>
      <c r="I5" s="3"/>
      <c r="J5" s="3" t="s">
        <v>19</v>
      </c>
      <c r="K5" s="3"/>
    </row>
    <row r="6" customFormat="false" ht="15" hidden="false" customHeight="false" outlineLevel="0" collapsed="false">
      <c r="A6" s="2" t="s">
        <v>20</v>
      </c>
      <c r="B6" s="2" t="s">
        <v>12</v>
      </c>
      <c r="C6" s="2" t="s">
        <v>13</v>
      </c>
      <c r="D6" s="2" t="s">
        <v>13</v>
      </c>
      <c r="E6" s="2" t="s">
        <v>14</v>
      </c>
      <c r="F6" s="2" t="s">
        <v>13</v>
      </c>
      <c r="G6" s="2" t="s">
        <v>13</v>
      </c>
      <c r="H6" s="2" t="s">
        <v>13</v>
      </c>
      <c r="I6" s="2"/>
      <c r="J6" s="2" t="s">
        <v>21</v>
      </c>
      <c r="K6" s="2"/>
    </row>
    <row r="7" customFormat="false" ht="15" hidden="false" customHeight="false" outlineLevel="0" collapsed="false">
      <c r="A7" s="3" t="s">
        <v>20</v>
      </c>
      <c r="B7" s="3" t="s">
        <v>17</v>
      </c>
      <c r="C7" s="3" t="s">
        <v>13</v>
      </c>
      <c r="D7" s="3" t="s">
        <v>13</v>
      </c>
      <c r="E7" s="3" t="s">
        <v>14</v>
      </c>
      <c r="F7" s="3" t="s">
        <v>13</v>
      </c>
      <c r="G7" s="3" t="s">
        <v>13</v>
      </c>
      <c r="H7" s="3" t="s">
        <v>13</v>
      </c>
      <c r="I7" s="3"/>
      <c r="J7" s="3" t="s">
        <v>21</v>
      </c>
      <c r="K7" s="3"/>
    </row>
    <row r="8" customFormat="false" ht="15" hidden="false" customHeight="false" outlineLevel="0" collapsed="false">
      <c r="A8" s="2" t="s">
        <v>22</v>
      </c>
      <c r="B8" s="2" t="s">
        <v>12</v>
      </c>
      <c r="C8" s="2" t="s">
        <v>13</v>
      </c>
      <c r="D8" s="2" t="s">
        <v>13</v>
      </c>
      <c r="E8" s="2" t="s">
        <v>14</v>
      </c>
      <c r="F8" s="2" t="s">
        <v>13</v>
      </c>
      <c r="G8" s="2" t="s">
        <v>13</v>
      </c>
      <c r="H8" s="2" t="s">
        <v>13</v>
      </c>
      <c r="I8" s="2"/>
      <c r="J8" s="2" t="s">
        <v>15</v>
      </c>
      <c r="K8" s="2"/>
    </row>
    <row r="9" customFormat="false" ht="15" hidden="false" customHeight="false" outlineLevel="0" collapsed="false">
      <c r="A9" s="3" t="s">
        <v>22</v>
      </c>
      <c r="B9" s="3" t="s">
        <v>17</v>
      </c>
      <c r="C9" s="3" t="s">
        <v>13</v>
      </c>
      <c r="D9" s="3" t="s">
        <v>13</v>
      </c>
      <c r="E9" s="3" t="s">
        <v>14</v>
      </c>
      <c r="F9" s="3" t="s">
        <v>13</v>
      </c>
      <c r="G9" s="3" t="s">
        <v>13</v>
      </c>
      <c r="H9" s="3" t="s">
        <v>13</v>
      </c>
      <c r="I9" s="3"/>
      <c r="J9" s="3" t="s">
        <v>15</v>
      </c>
      <c r="K9" s="3"/>
    </row>
    <row r="10" customFormat="false" ht="15" hidden="false" customHeight="false" outlineLevel="0" collapsed="false">
      <c r="A10" s="2" t="s">
        <v>23</v>
      </c>
      <c r="B10" s="2" t="s">
        <v>12</v>
      </c>
      <c r="C10" s="2" t="s">
        <v>13</v>
      </c>
      <c r="D10" s="2" t="s">
        <v>13</v>
      </c>
      <c r="E10" s="2" t="s">
        <v>14</v>
      </c>
      <c r="F10" s="2" t="s">
        <v>13</v>
      </c>
      <c r="G10" s="2" t="s">
        <v>13</v>
      </c>
      <c r="H10" s="2" t="s">
        <v>13</v>
      </c>
      <c r="I10" s="2"/>
      <c r="J10" s="2" t="s">
        <v>19</v>
      </c>
      <c r="K10" s="2"/>
    </row>
    <row r="11" customFormat="false" ht="15" hidden="false" customHeight="false" outlineLevel="0" collapsed="false">
      <c r="A11" s="3" t="s">
        <v>23</v>
      </c>
      <c r="B11" s="3" t="s">
        <v>17</v>
      </c>
      <c r="C11" s="3" t="s">
        <v>13</v>
      </c>
      <c r="D11" s="3" t="s">
        <v>13</v>
      </c>
      <c r="E11" s="3" t="s">
        <v>14</v>
      </c>
      <c r="F11" s="3" t="s">
        <v>13</v>
      </c>
      <c r="G11" s="3" t="s">
        <v>13</v>
      </c>
      <c r="H11" s="3" t="s">
        <v>13</v>
      </c>
      <c r="I11" s="3"/>
      <c r="J11" s="3" t="s">
        <v>19</v>
      </c>
      <c r="K11" s="3"/>
    </row>
    <row r="12" customFormat="false" ht="15" hidden="false" customHeight="false" outlineLevel="0" collapsed="false">
      <c r="A12" s="2" t="s">
        <v>24</v>
      </c>
      <c r="B12" s="2" t="s">
        <v>12</v>
      </c>
      <c r="C12" s="2" t="s">
        <v>13</v>
      </c>
      <c r="D12" s="2" t="s">
        <v>13</v>
      </c>
      <c r="E12" s="2" t="s">
        <v>14</v>
      </c>
      <c r="F12" s="2" t="s">
        <v>13</v>
      </c>
      <c r="G12" s="2" t="s">
        <v>13</v>
      </c>
      <c r="H12" s="2" t="s">
        <v>13</v>
      </c>
      <c r="I12" s="2"/>
      <c r="J12" s="2" t="s">
        <v>21</v>
      </c>
      <c r="K12" s="2"/>
    </row>
    <row r="13" customFormat="false" ht="15" hidden="false" customHeight="false" outlineLevel="0" collapsed="false">
      <c r="A13" s="3" t="s">
        <v>24</v>
      </c>
      <c r="B13" s="3" t="s">
        <v>17</v>
      </c>
      <c r="C13" s="3" t="s">
        <v>13</v>
      </c>
      <c r="D13" s="3" t="s">
        <v>13</v>
      </c>
      <c r="E13" s="3" t="s">
        <v>14</v>
      </c>
      <c r="F13" s="3" t="s">
        <v>13</v>
      </c>
      <c r="G13" s="3" t="s">
        <v>13</v>
      </c>
      <c r="H13" s="3" t="s">
        <v>13</v>
      </c>
      <c r="I13" s="3"/>
      <c r="J13" s="3" t="s">
        <v>21</v>
      </c>
      <c r="K13" s="3"/>
    </row>
    <row r="14" customFormat="false" ht="28.35" hidden="false" customHeight="false" outlineLevel="0" collapsed="false">
      <c r="A14" s="2" t="s">
        <v>25</v>
      </c>
      <c r="B14" s="2" t="s">
        <v>12</v>
      </c>
      <c r="C14" s="2" t="s">
        <v>26</v>
      </c>
      <c r="D14" s="2" t="s">
        <v>26</v>
      </c>
      <c r="E14" s="2" t="s">
        <v>27</v>
      </c>
      <c r="F14" s="2" t="s">
        <v>26</v>
      </c>
      <c r="G14" s="2" t="s">
        <v>26</v>
      </c>
      <c r="H14" s="2" t="s">
        <v>13</v>
      </c>
      <c r="I14" s="2" t="s">
        <v>28</v>
      </c>
      <c r="J14" s="2" t="s">
        <v>15</v>
      </c>
      <c r="K14" s="2" t="s">
        <v>29</v>
      </c>
    </row>
    <row r="15" customFormat="false" ht="15" hidden="false" customHeight="false" outlineLevel="0" collapsed="false">
      <c r="A15" s="3" t="s">
        <v>25</v>
      </c>
      <c r="B15" s="3" t="s">
        <v>17</v>
      </c>
      <c r="C15" s="3" t="s">
        <v>26</v>
      </c>
      <c r="D15" s="3" t="s">
        <v>26</v>
      </c>
      <c r="E15" s="3" t="s">
        <v>27</v>
      </c>
      <c r="F15" s="3" t="s">
        <v>26</v>
      </c>
      <c r="G15" s="3" t="s">
        <v>26</v>
      </c>
      <c r="H15" s="3" t="s">
        <v>13</v>
      </c>
      <c r="I15" s="3" t="s">
        <v>30</v>
      </c>
      <c r="J15" s="3" t="s">
        <v>15</v>
      </c>
      <c r="K15" s="3" t="s">
        <v>31</v>
      </c>
    </row>
    <row r="16" customFormat="false" ht="15" hidden="false" customHeight="false" outlineLevel="0" collapsed="false">
      <c r="A16" s="2" t="s">
        <v>32</v>
      </c>
      <c r="B16" s="2" t="s">
        <v>12</v>
      </c>
      <c r="C16" s="2" t="s">
        <v>26</v>
      </c>
      <c r="D16" s="2" t="s">
        <v>26</v>
      </c>
      <c r="E16" s="2" t="s">
        <v>27</v>
      </c>
      <c r="F16" s="2" t="s">
        <v>26</v>
      </c>
      <c r="G16" s="2" t="s">
        <v>26</v>
      </c>
      <c r="H16" s="2" t="s">
        <v>13</v>
      </c>
      <c r="I16" s="2" t="s">
        <v>33</v>
      </c>
      <c r="J16" s="2" t="s">
        <v>19</v>
      </c>
      <c r="K16" s="2"/>
    </row>
    <row r="17" customFormat="false" ht="15" hidden="false" customHeight="false" outlineLevel="0" collapsed="false">
      <c r="A17" s="3" t="s">
        <v>32</v>
      </c>
      <c r="B17" s="3" t="s">
        <v>17</v>
      </c>
      <c r="C17" s="3" t="s">
        <v>26</v>
      </c>
      <c r="D17" s="3" t="s">
        <v>26</v>
      </c>
      <c r="E17" s="3" t="s">
        <v>27</v>
      </c>
      <c r="F17" s="3" t="s">
        <v>26</v>
      </c>
      <c r="G17" s="3" t="s">
        <v>26</v>
      </c>
      <c r="H17" s="3" t="s">
        <v>13</v>
      </c>
      <c r="I17" s="3" t="s">
        <v>34</v>
      </c>
      <c r="J17" s="3" t="s">
        <v>19</v>
      </c>
      <c r="K17" s="3"/>
    </row>
    <row r="18" customFormat="false" ht="15" hidden="false" customHeight="false" outlineLevel="0" collapsed="false">
      <c r="A18" s="2" t="s">
        <v>35</v>
      </c>
      <c r="B18" s="2" t="s">
        <v>12</v>
      </c>
      <c r="C18" s="2" t="s">
        <v>26</v>
      </c>
      <c r="D18" s="2" t="s">
        <v>26</v>
      </c>
      <c r="E18" s="2" t="s">
        <v>27</v>
      </c>
      <c r="F18" s="2" t="s">
        <v>26</v>
      </c>
      <c r="G18" s="2" t="s">
        <v>13</v>
      </c>
      <c r="H18" s="2" t="s">
        <v>13</v>
      </c>
      <c r="I18" s="2"/>
      <c r="J18" s="2" t="s">
        <v>21</v>
      </c>
      <c r="K18" s="2"/>
    </row>
    <row r="19" customFormat="false" ht="15" hidden="false" customHeight="false" outlineLevel="0" collapsed="false">
      <c r="A19" s="3" t="s">
        <v>35</v>
      </c>
      <c r="B19" s="3" t="s">
        <v>17</v>
      </c>
      <c r="C19" s="3" t="s">
        <v>26</v>
      </c>
      <c r="D19" s="3" t="s">
        <v>26</v>
      </c>
      <c r="E19" s="3" t="s">
        <v>27</v>
      </c>
      <c r="F19" s="3" t="s">
        <v>26</v>
      </c>
      <c r="G19" s="3" t="s">
        <v>13</v>
      </c>
      <c r="H19" s="3" t="s">
        <v>13</v>
      </c>
      <c r="I19" s="3"/>
      <c r="J19" s="3" t="s">
        <v>21</v>
      </c>
      <c r="K19" s="3"/>
    </row>
    <row r="20" customFormat="false" ht="15" hidden="false" customHeight="false" outlineLevel="0" collapsed="false">
      <c r="A20" s="2" t="s">
        <v>36</v>
      </c>
      <c r="B20" s="2" t="s">
        <v>12</v>
      </c>
      <c r="C20" s="2" t="s">
        <v>26</v>
      </c>
      <c r="D20" s="2" t="s">
        <v>26</v>
      </c>
      <c r="E20" s="2" t="s">
        <v>27</v>
      </c>
      <c r="F20" s="2" t="s">
        <v>26</v>
      </c>
      <c r="G20" s="2" t="s">
        <v>13</v>
      </c>
      <c r="H20" s="2" t="s">
        <v>13</v>
      </c>
      <c r="I20" s="2"/>
      <c r="J20" s="2" t="s">
        <v>19</v>
      </c>
      <c r="K20" s="2"/>
    </row>
    <row r="21" customFormat="false" ht="15" hidden="false" customHeight="false" outlineLevel="0" collapsed="false">
      <c r="A21" s="3" t="s">
        <v>36</v>
      </c>
      <c r="B21" s="3" t="s">
        <v>17</v>
      </c>
      <c r="C21" s="3" t="s">
        <v>26</v>
      </c>
      <c r="D21" s="3" t="s">
        <v>26</v>
      </c>
      <c r="E21" s="3" t="s">
        <v>27</v>
      </c>
      <c r="F21" s="3" t="s">
        <v>26</v>
      </c>
      <c r="G21" s="3" t="s">
        <v>13</v>
      </c>
      <c r="H21" s="3" t="s">
        <v>13</v>
      </c>
      <c r="I21" s="3"/>
      <c r="J21" s="3" t="s">
        <v>19</v>
      </c>
      <c r="K21" s="3"/>
    </row>
    <row r="22" customFormat="false" ht="15" hidden="false" customHeight="false" outlineLevel="0" collapsed="false">
      <c r="A22" s="2" t="s">
        <v>37</v>
      </c>
      <c r="B22" s="2" t="s">
        <v>12</v>
      </c>
      <c r="C22" s="2" t="s">
        <v>26</v>
      </c>
      <c r="D22" s="2" t="s">
        <v>26</v>
      </c>
      <c r="E22" s="2" t="s">
        <v>27</v>
      </c>
      <c r="F22" s="2" t="s">
        <v>26</v>
      </c>
      <c r="G22" s="2" t="s">
        <v>13</v>
      </c>
      <c r="H22" s="2" t="s">
        <v>13</v>
      </c>
      <c r="I22" s="2"/>
      <c r="J22" s="2" t="s">
        <v>15</v>
      </c>
      <c r="K22" s="2"/>
    </row>
    <row r="23" customFormat="false" ht="15" hidden="false" customHeight="false" outlineLevel="0" collapsed="false">
      <c r="A23" s="3" t="s">
        <v>37</v>
      </c>
      <c r="B23" s="3" t="s">
        <v>17</v>
      </c>
      <c r="C23" s="3" t="s">
        <v>26</v>
      </c>
      <c r="D23" s="3" t="s">
        <v>26</v>
      </c>
      <c r="E23" s="3" t="s">
        <v>27</v>
      </c>
      <c r="F23" s="3" t="s">
        <v>26</v>
      </c>
      <c r="G23" s="3" t="s">
        <v>13</v>
      </c>
      <c r="H23" s="3" t="s">
        <v>13</v>
      </c>
      <c r="I23" s="3"/>
      <c r="J23" s="3" t="s">
        <v>15</v>
      </c>
      <c r="K23" s="3"/>
    </row>
    <row r="24" customFormat="false" ht="15" hidden="false" customHeight="false" outlineLevel="0" collapsed="false">
      <c r="A24" s="2" t="s">
        <v>38</v>
      </c>
      <c r="B24" s="2" t="s">
        <v>12</v>
      </c>
      <c r="C24" s="2" t="s">
        <v>26</v>
      </c>
      <c r="D24" s="2" t="s">
        <v>26</v>
      </c>
      <c r="E24" s="2" t="s">
        <v>27</v>
      </c>
      <c r="F24" s="2" t="s">
        <v>26</v>
      </c>
      <c r="G24" s="2" t="s">
        <v>13</v>
      </c>
      <c r="H24" s="2" t="s">
        <v>13</v>
      </c>
      <c r="I24" s="2"/>
      <c r="J24" s="2" t="s">
        <v>21</v>
      </c>
      <c r="K24" s="2"/>
    </row>
    <row r="25" customFormat="false" ht="15" hidden="false" customHeight="false" outlineLevel="0" collapsed="false">
      <c r="A25" s="3" t="s">
        <v>38</v>
      </c>
      <c r="B25" s="3" t="s">
        <v>17</v>
      </c>
      <c r="C25" s="3" t="s">
        <v>26</v>
      </c>
      <c r="D25" s="3" t="s">
        <v>26</v>
      </c>
      <c r="E25" s="3" t="s">
        <v>27</v>
      </c>
      <c r="F25" s="3" t="s">
        <v>26</v>
      </c>
      <c r="G25" s="3" t="s">
        <v>13</v>
      </c>
      <c r="H25" s="3" t="s">
        <v>13</v>
      </c>
      <c r="I25" s="3"/>
      <c r="J25" s="3" t="s">
        <v>21</v>
      </c>
      <c r="K25" s="3"/>
    </row>
    <row r="26" customFormat="false" ht="15" hidden="false" customHeight="false" outlineLevel="0" collapsed="false">
      <c r="A26" s="2" t="s">
        <v>39</v>
      </c>
      <c r="B26" s="2" t="s">
        <v>12</v>
      </c>
      <c r="C26" s="2" t="s">
        <v>26</v>
      </c>
      <c r="D26" s="2" t="s">
        <v>26</v>
      </c>
      <c r="E26" s="2" t="s">
        <v>40</v>
      </c>
      <c r="F26" s="2" t="s">
        <v>26</v>
      </c>
      <c r="G26" s="2" t="s">
        <v>13</v>
      </c>
      <c r="H26" s="2" t="s">
        <v>13</v>
      </c>
      <c r="I26" s="2"/>
      <c r="J26" s="2" t="s">
        <v>19</v>
      </c>
      <c r="K26" s="2" t="s">
        <v>41</v>
      </c>
    </row>
    <row r="27" customFormat="false" ht="15" hidden="false" customHeight="false" outlineLevel="0" collapsed="false">
      <c r="A27" s="3" t="s">
        <v>39</v>
      </c>
      <c r="B27" s="3" t="s">
        <v>17</v>
      </c>
      <c r="C27" s="3" t="s">
        <v>26</v>
      </c>
      <c r="D27" s="3" t="s">
        <v>26</v>
      </c>
      <c r="E27" s="3" t="s">
        <v>40</v>
      </c>
      <c r="F27" s="3" t="s">
        <v>26</v>
      </c>
      <c r="G27" s="3" t="s">
        <v>13</v>
      </c>
      <c r="H27" s="3" t="s">
        <v>13</v>
      </c>
      <c r="I27" s="3"/>
      <c r="J27" s="3" t="s">
        <v>19</v>
      </c>
      <c r="K27" s="3"/>
    </row>
    <row r="28" customFormat="false" ht="15" hidden="false" customHeight="false" outlineLevel="0" collapsed="false">
      <c r="A28" s="2" t="s">
        <v>42</v>
      </c>
      <c r="B28" s="2" t="s">
        <v>12</v>
      </c>
      <c r="C28" s="2" t="s">
        <v>26</v>
      </c>
      <c r="D28" s="2" t="s">
        <v>26</v>
      </c>
      <c r="E28" s="2" t="s">
        <v>40</v>
      </c>
      <c r="F28" s="2" t="s">
        <v>26</v>
      </c>
      <c r="G28" s="2" t="s">
        <v>13</v>
      </c>
      <c r="H28" s="2" t="s">
        <v>13</v>
      </c>
      <c r="I28" s="2"/>
      <c r="J28" s="2" t="s">
        <v>21</v>
      </c>
      <c r="K28" s="2"/>
    </row>
    <row r="29" customFormat="false" ht="15" hidden="false" customHeight="false" outlineLevel="0" collapsed="false">
      <c r="A29" s="3" t="s">
        <v>42</v>
      </c>
      <c r="B29" s="3" t="s">
        <v>17</v>
      </c>
      <c r="C29" s="3" t="s">
        <v>26</v>
      </c>
      <c r="D29" s="3" t="s">
        <v>26</v>
      </c>
      <c r="E29" s="3" t="s">
        <v>40</v>
      </c>
      <c r="F29" s="3" t="s">
        <v>26</v>
      </c>
      <c r="G29" s="3" t="s">
        <v>13</v>
      </c>
      <c r="H29" s="3" t="s">
        <v>13</v>
      </c>
      <c r="I29" s="3"/>
      <c r="J29" s="3" t="s">
        <v>21</v>
      </c>
      <c r="K29" s="3"/>
    </row>
    <row r="30" customFormat="false" ht="15" hidden="false" customHeight="false" outlineLevel="0" collapsed="false">
      <c r="A30" s="2" t="s">
        <v>43</v>
      </c>
      <c r="B30" s="2" t="s">
        <v>44</v>
      </c>
      <c r="C30" s="2" t="s">
        <v>45</v>
      </c>
      <c r="D30" s="2" t="s">
        <v>45</v>
      </c>
      <c r="E30" s="2" t="s">
        <v>46</v>
      </c>
      <c r="F30" s="2" t="s">
        <v>13</v>
      </c>
      <c r="G30" s="2" t="s">
        <v>13</v>
      </c>
      <c r="H30" s="2" t="s">
        <v>13</v>
      </c>
      <c r="I30" s="2"/>
      <c r="J30" s="2" t="s">
        <v>19</v>
      </c>
      <c r="K30" s="2" t="s">
        <v>47</v>
      </c>
    </row>
    <row r="31" customFormat="false" ht="15" hidden="false" customHeight="false" outlineLevel="0" collapsed="false">
      <c r="A31" s="3" t="s">
        <v>48</v>
      </c>
      <c r="B31" s="3" t="s">
        <v>44</v>
      </c>
      <c r="C31" s="3" t="s">
        <v>45</v>
      </c>
      <c r="D31" s="3" t="s">
        <v>45</v>
      </c>
      <c r="E31" s="3" t="s">
        <v>46</v>
      </c>
      <c r="F31" s="3" t="s">
        <v>13</v>
      </c>
      <c r="G31" s="3" t="s">
        <v>13</v>
      </c>
      <c r="H31" s="3" t="s">
        <v>13</v>
      </c>
      <c r="I31" s="3"/>
      <c r="J31" s="3" t="s">
        <v>19</v>
      </c>
      <c r="K31" s="3" t="s">
        <v>49</v>
      </c>
    </row>
    <row r="32" customFormat="false" ht="15" hidden="false" customHeight="false" outlineLevel="0" collapsed="false">
      <c r="A32" s="2" t="s">
        <v>50</v>
      </c>
      <c r="B32" s="2" t="s">
        <v>44</v>
      </c>
      <c r="C32" s="2" t="s">
        <v>45</v>
      </c>
      <c r="D32" s="2" t="s">
        <v>45</v>
      </c>
      <c r="E32" s="2" t="s">
        <v>46</v>
      </c>
      <c r="F32" s="2" t="s">
        <v>13</v>
      </c>
      <c r="G32" s="2" t="s">
        <v>13</v>
      </c>
      <c r="H32" s="2" t="s">
        <v>13</v>
      </c>
      <c r="I32" s="2"/>
      <c r="J32" s="2" t="s">
        <v>15</v>
      </c>
      <c r="K32" s="2" t="s">
        <v>51</v>
      </c>
    </row>
    <row r="33" customFormat="false" ht="15" hidden="false" customHeight="false" outlineLevel="0" collapsed="false">
      <c r="A33" s="3" t="s">
        <v>52</v>
      </c>
      <c r="B33" s="3" t="s">
        <v>44</v>
      </c>
      <c r="C33" s="3" t="s">
        <v>45</v>
      </c>
      <c r="D33" s="3" t="s">
        <v>45</v>
      </c>
      <c r="E33" s="3" t="s">
        <v>46</v>
      </c>
      <c r="F33" s="3" t="s">
        <v>13</v>
      </c>
      <c r="G33" s="3" t="s">
        <v>13</v>
      </c>
      <c r="H33" s="3" t="s">
        <v>13</v>
      </c>
      <c r="I33" s="3"/>
      <c r="J33" s="3" t="s">
        <v>19</v>
      </c>
      <c r="K33" s="3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5"/>
  </cols>
  <sheetData>
    <row r="1" customFormat="false" ht="28.35" hidden="false" customHeight="false" outlineLevel="0" collapsed="false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10</v>
      </c>
    </row>
    <row r="2" customFormat="false" ht="28.35" hidden="false" customHeight="false" outlineLevel="0" collapsed="false">
      <c r="A2" s="5" t="s">
        <v>61</v>
      </c>
      <c r="B2" s="5" t="s">
        <v>15</v>
      </c>
      <c r="C2" s="5" t="s">
        <v>62</v>
      </c>
      <c r="D2" s="5" t="s">
        <v>63</v>
      </c>
      <c r="E2" s="5" t="s">
        <v>27</v>
      </c>
      <c r="F2" s="5" t="s">
        <v>64</v>
      </c>
      <c r="G2" s="5" t="s">
        <v>65</v>
      </c>
      <c r="H2" s="5" t="s">
        <v>66</v>
      </c>
    </row>
    <row r="3" customFormat="false" ht="28.35" hidden="false" customHeight="false" outlineLevel="0" collapsed="false">
      <c r="A3" s="6" t="s">
        <v>17</v>
      </c>
      <c r="B3" s="6" t="s">
        <v>19</v>
      </c>
      <c r="C3" s="6" t="s">
        <v>67</v>
      </c>
      <c r="D3" s="6" t="s">
        <v>68</v>
      </c>
      <c r="E3" s="6" t="s">
        <v>27</v>
      </c>
      <c r="F3" s="6" t="s">
        <v>64</v>
      </c>
      <c r="G3" s="6" t="s">
        <v>65</v>
      </c>
      <c r="H3" s="6" t="s">
        <v>69</v>
      </c>
    </row>
    <row r="4" customFormat="false" ht="28.35" hidden="false" customHeight="false" outlineLevel="0" collapsed="false">
      <c r="A4" s="5" t="s">
        <v>70</v>
      </c>
      <c r="B4" s="5" t="s">
        <v>21</v>
      </c>
      <c r="C4" s="5" t="s">
        <v>71</v>
      </c>
      <c r="D4" s="5" t="s">
        <v>72</v>
      </c>
      <c r="E4" s="5" t="s">
        <v>27</v>
      </c>
      <c r="F4" s="5" t="s">
        <v>64</v>
      </c>
      <c r="G4" s="5" t="s">
        <v>65</v>
      </c>
      <c r="H4" s="5" t="s">
        <v>73</v>
      </c>
    </row>
    <row r="5" customFormat="false" ht="15" hidden="false" customHeight="false" outlineLevel="0" collapsed="false">
      <c r="A5" s="6" t="s">
        <v>74</v>
      </c>
      <c r="B5" s="6" t="s">
        <v>75</v>
      </c>
      <c r="C5" s="6" t="s">
        <v>76</v>
      </c>
      <c r="D5" s="6" t="s">
        <v>77</v>
      </c>
      <c r="E5" s="6" t="s">
        <v>27</v>
      </c>
      <c r="F5" s="6" t="s">
        <v>78</v>
      </c>
      <c r="G5" s="6" t="s">
        <v>79</v>
      </c>
      <c r="H5" s="6" t="s">
        <v>80</v>
      </c>
    </row>
    <row r="6" customFormat="false" ht="15" hidden="false" customHeight="false" outlineLevel="0" collapsed="false">
      <c r="A6" s="5" t="s">
        <v>81</v>
      </c>
      <c r="B6" s="5" t="s">
        <v>82</v>
      </c>
      <c r="C6" s="5" t="s">
        <v>83</v>
      </c>
      <c r="D6" s="5" t="s">
        <v>84</v>
      </c>
      <c r="E6" s="5" t="s">
        <v>40</v>
      </c>
      <c r="F6" s="5" t="s">
        <v>2</v>
      </c>
      <c r="G6" s="5" t="s">
        <v>65</v>
      </c>
      <c r="H6" s="5" t="s">
        <v>85</v>
      </c>
    </row>
    <row r="7" customFormat="false" ht="28.35" hidden="false" customHeight="false" outlineLevel="0" collapsed="false">
      <c r="A7" s="6" t="s">
        <v>86</v>
      </c>
      <c r="B7" s="6" t="s">
        <v>87</v>
      </c>
      <c r="C7" s="6" t="s">
        <v>88</v>
      </c>
      <c r="D7" s="6" t="s">
        <v>89</v>
      </c>
      <c r="E7" s="6" t="s">
        <v>40</v>
      </c>
      <c r="F7" s="6" t="s">
        <v>3</v>
      </c>
      <c r="G7" s="6" t="s">
        <v>90</v>
      </c>
      <c r="H7" s="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5"/>
  </cols>
  <sheetData>
    <row r="1" customFormat="false" ht="15" hidden="false" customHeight="false" outlineLevel="0" collapsed="false">
      <c r="A1" s="7" t="s">
        <v>92</v>
      </c>
    </row>
    <row r="3" customFormat="false" ht="15" hidden="false" customHeight="false" outlineLevel="0" collapsed="false">
      <c r="A3" s="0" t="s">
        <v>93</v>
      </c>
    </row>
    <row r="4" customFormat="false" ht="15" hidden="false" customHeight="false" outlineLevel="0" collapsed="false">
      <c r="A4" s="0" t="s">
        <v>94</v>
      </c>
      <c r="B4" s="0" t="s">
        <v>95</v>
      </c>
    </row>
    <row r="5" customFormat="false" ht="15" hidden="false" customHeight="false" outlineLevel="0" collapsed="false">
      <c r="A5" s="0" t="s">
        <v>96</v>
      </c>
      <c r="B5" s="0" t="s">
        <v>97</v>
      </c>
    </row>
    <row r="6" customFormat="false" ht="15" hidden="false" customHeight="false" outlineLevel="0" collapsed="false">
      <c r="A6" s="0" t="s">
        <v>98</v>
      </c>
    </row>
    <row r="7" customFormat="false" ht="15" hidden="false" customHeight="false" outlineLevel="0" collapsed="false">
      <c r="A7" s="0" t="s">
        <v>99</v>
      </c>
    </row>
    <row r="8" customFormat="false" ht="15" hidden="false" customHeight="false" outlineLevel="0" collapsed="false">
      <c r="A8" s="0" t="s">
        <v>100</v>
      </c>
    </row>
    <row r="9" customFormat="false" ht="15" hidden="false" customHeight="false" outlineLevel="0" collapsed="false">
      <c r="A9" s="0" t="s">
        <v>101</v>
      </c>
    </row>
    <row r="10" customFormat="false" ht="15" hidden="false" customHeight="false" outlineLevel="0" collapsed="false">
      <c r="A10" s="0" t="s">
        <v>102</v>
      </c>
    </row>
    <row r="11" customFormat="false" ht="15" hidden="false" customHeight="false" outlineLevel="0" collapsed="false">
      <c r="A11" s="0" t="s">
        <v>103</v>
      </c>
    </row>
    <row r="12" customFormat="false" ht="15" hidden="false" customHeight="false" outlineLevel="0" collapsed="false">
      <c r="A12" s="0" t="s">
        <v>104</v>
      </c>
    </row>
    <row r="13" customFormat="false" ht="15" hidden="false" customHeight="false" outlineLevel="0" collapsed="false">
      <c r="A13" s="0" t="s">
        <v>105</v>
      </c>
    </row>
    <row r="14" customFormat="false" ht="15" hidden="false" customHeight="false" outlineLevel="0" collapsed="false">
      <c r="A14" s="0" t="s">
        <v>106</v>
      </c>
    </row>
    <row r="15" customFormat="false" ht="15" hidden="false" customHeight="false" outlineLevel="0" collapsed="false">
      <c r="A15" s="0" t="s">
        <v>107</v>
      </c>
    </row>
    <row r="16" customFormat="false" ht="15" hidden="false" customHeight="false" outlineLevel="0" collapsed="false">
      <c r="A16" s="0" t="s">
        <v>108</v>
      </c>
    </row>
    <row r="17" customFormat="false" ht="15" hidden="false" customHeight="false" outlineLevel="0" collapsed="false">
      <c r="A17" s="0" t="s">
        <v>109</v>
      </c>
      <c r="B17" s="0" t="s">
        <v>110</v>
      </c>
    </row>
    <row r="18" customFormat="false" ht="15" hidden="false" customHeight="false" outlineLevel="0" collapsed="false">
      <c r="A18" s="0" t="s">
        <v>111</v>
      </c>
    </row>
    <row r="19" customFormat="false" ht="15" hidden="false" customHeight="false" outlineLevel="0" collapsed="false">
      <c r="A19" s="0" t="s">
        <v>112</v>
      </c>
    </row>
    <row r="20" customFormat="false" ht="15" hidden="false" customHeight="false" outlineLevel="0" collapsed="false">
      <c r="A20" s="0" t="s">
        <v>113</v>
      </c>
      <c r="B20" s="0" t="s">
        <v>114</v>
      </c>
    </row>
    <row r="21" customFormat="false" ht="15" hidden="false" customHeight="false" outlineLevel="0" collapsed="false">
      <c r="A21" s="0" t="s">
        <v>115</v>
      </c>
    </row>
    <row r="22" customFormat="false" ht="15" hidden="false" customHeight="false" outlineLevel="0" collapsed="false">
      <c r="A22" s="0" t="s">
        <v>116</v>
      </c>
    </row>
    <row r="23" customFormat="false" ht="15" hidden="false" customHeight="false" outlineLevel="0" collapsed="false">
      <c r="A23" s="0" t="s">
        <v>117</v>
      </c>
      <c r="B23" s="0" t="s">
        <v>118</v>
      </c>
    </row>
    <row r="24" customFormat="false" ht="15" hidden="false" customHeight="false" outlineLevel="0" collapsed="false">
      <c r="A24" s="0" t="s">
        <v>119</v>
      </c>
    </row>
    <row r="25" customFormat="false" ht="15" hidden="false" customHeight="false" outlineLevel="0" collapsed="false">
      <c r="A25" s="0" t="s">
        <v>120</v>
      </c>
    </row>
    <row r="26" customFormat="false" ht="15" hidden="false" customHeight="false" outlineLevel="0" collapsed="false">
      <c r="A26" s="0" t="s">
        <v>121</v>
      </c>
    </row>
    <row r="27" customFormat="false" ht="15" hidden="false" customHeight="false" outlineLevel="0" collapsed="false">
      <c r="A27" s="0" t="s">
        <v>122</v>
      </c>
    </row>
    <row r="28" customFormat="false" ht="15" hidden="false" customHeight="false" outlineLevel="0" collapsed="false">
      <c r="A28" s="0" t="s">
        <v>123</v>
      </c>
    </row>
    <row r="29" customFormat="false" ht="15" hidden="false" customHeight="false" outlineLevel="0" collapsed="false">
      <c r="A29" s="0" t="s">
        <v>124</v>
      </c>
      <c r="B29" s="0" t="s">
        <v>125</v>
      </c>
    </row>
    <row r="30" customFormat="false" ht="15" hidden="false" customHeight="false" outlineLevel="0" collapsed="false">
      <c r="A30" s="0" t="s">
        <v>126</v>
      </c>
      <c r="B30" s="0" t="s">
        <v>127</v>
      </c>
    </row>
    <row r="31" customFormat="false" ht="15" hidden="false" customHeight="false" outlineLevel="0" collapsed="false">
      <c r="A31" s="0" t="s">
        <v>128</v>
      </c>
    </row>
    <row r="32" customFormat="false" ht="15" hidden="false" customHeight="false" outlineLevel="0" collapsed="false">
      <c r="A32" s="0" t="s">
        <v>129</v>
      </c>
    </row>
    <row r="33" customFormat="false" ht="15" hidden="false" customHeight="false" outlineLevel="0" collapsed="false">
      <c r="A33" s="0" t="s">
        <v>130</v>
      </c>
    </row>
    <row r="34" customFormat="false" ht="15" hidden="false" customHeight="false" outlineLevel="0" collapsed="false">
      <c r="A34" s="0" t="s">
        <v>131</v>
      </c>
      <c r="B34" s="0" t="s">
        <v>132</v>
      </c>
    </row>
    <row r="35" customFormat="false" ht="15" hidden="false" customHeight="false" outlineLevel="0" collapsed="false">
      <c r="A35" s="0" t="s">
        <v>133</v>
      </c>
      <c r="B35" s="0" t="s">
        <v>134</v>
      </c>
    </row>
    <row r="36" customFormat="false" ht="15" hidden="false" customHeight="false" outlineLevel="0" collapsed="false">
      <c r="A36" s="0" t="s">
        <v>135</v>
      </c>
    </row>
    <row r="37" customFormat="false" ht="15" hidden="false" customHeight="false" outlineLevel="0" collapsed="false">
      <c r="A37" s="0" t="s">
        <v>136</v>
      </c>
      <c r="B37" s="0" t="s">
        <v>137</v>
      </c>
    </row>
    <row r="38" customFormat="false" ht="15" hidden="false" customHeight="false" outlineLevel="0" collapsed="false">
      <c r="A38" s="0" t="s">
        <v>138</v>
      </c>
      <c r="B38" s="0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4" t="s">
        <v>140</v>
      </c>
      <c r="B1" s="4" t="s">
        <v>141</v>
      </c>
      <c r="C1" s="4" t="s">
        <v>142</v>
      </c>
    </row>
    <row r="2" customFormat="false" ht="15" hidden="false" customHeight="false" outlineLevel="0" collapsed="false">
      <c r="A2" s="5" t="s">
        <v>143</v>
      </c>
      <c r="B2" s="5" t="s">
        <v>144</v>
      </c>
      <c r="C2" s="5" t="s">
        <v>145</v>
      </c>
    </row>
    <row r="3" customFormat="false" ht="15" hidden="false" customHeight="false" outlineLevel="0" collapsed="false">
      <c r="A3" s="5" t="s">
        <v>146</v>
      </c>
      <c r="B3" s="5" t="s">
        <v>147</v>
      </c>
      <c r="C3" s="5" t="s">
        <v>148</v>
      </c>
    </row>
    <row r="4" customFormat="false" ht="28.35" hidden="false" customHeight="false" outlineLevel="0" collapsed="false">
      <c r="A4" s="5" t="s">
        <v>149</v>
      </c>
      <c r="B4" s="5" t="s">
        <v>150</v>
      </c>
      <c r="C4" s="5" t="s">
        <v>151</v>
      </c>
    </row>
    <row r="5" customFormat="false" ht="15" hidden="false" customHeight="false" outlineLevel="0" collapsed="false">
      <c r="A5" s="5" t="s">
        <v>152</v>
      </c>
      <c r="B5" s="5" t="s">
        <v>153</v>
      </c>
      <c r="C5" s="5" t="s">
        <v>148</v>
      </c>
    </row>
    <row r="6" customFormat="false" ht="15" hidden="false" customHeight="false" outlineLevel="0" collapsed="false">
      <c r="A6" s="5" t="s">
        <v>154</v>
      </c>
      <c r="B6" s="5" t="s">
        <v>155</v>
      </c>
      <c r="C6" s="5" t="s">
        <v>156</v>
      </c>
    </row>
    <row r="7" customFormat="false" ht="15" hidden="false" customHeight="false" outlineLevel="0" collapsed="false">
      <c r="A7" s="5" t="s">
        <v>157</v>
      </c>
      <c r="B7" s="5" t="s">
        <v>158</v>
      </c>
      <c r="C7" s="5" t="s">
        <v>159</v>
      </c>
    </row>
    <row r="8" customFormat="false" ht="15" hidden="false" customHeight="false" outlineLevel="0" collapsed="false">
      <c r="A8" s="5" t="s">
        <v>160</v>
      </c>
      <c r="B8" s="5" t="s">
        <v>161</v>
      </c>
      <c r="C8" s="5" t="s">
        <v>159</v>
      </c>
    </row>
    <row r="9" customFormat="false" ht="15" hidden="false" customHeight="false" outlineLevel="0" collapsed="false">
      <c r="A9" s="5" t="s">
        <v>162</v>
      </c>
      <c r="B9" s="5" t="s">
        <v>163</v>
      </c>
      <c r="C9" s="5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7" t="s">
        <v>165</v>
      </c>
    </row>
    <row r="3" customFormat="false" ht="15" hidden="false" customHeight="false" outlineLevel="0" collapsed="false">
      <c r="A3" s="0" t="s">
        <v>166</v>
      </c>
      <c r="B3" s="0" t="n">
        <f aca="false">COUNTA(A2:A33)</f>
        <v>12</v>
      </c>
    </row>
    <row r="4" customFormat="false" ht="15" hidden="false" customHeight="false" outlineLevel="0" collapsed="false">
      <c r="A4" s="0" t="s">
        <v>167</v>
      </c>
      <c r="B4" s="0" t="n">
        <f aca="false">COUNTIF(F2:F33,"✅")</f>
        <v>0</v>
      </c>
    </row>
    <row r="5" customFormat="false" ht="15" hidden="false" customHeight="false" outlineLevel="0" collapsed="false">
      <c r="A5" s="0" t="s">
        <v>168</v>
      </c>
      <c r="B5" s="0" t="n">
        <f aca="false">COUNTIF(G2:G33,"✅")</f>
        <v>0</v>
      </c>
    </row>
    <row r="6" customFormat="false" ht="15" hidden="false" customHeight="false" outlineLevel="0" collapsed="false">
      <c r="A6" s="0" t="s">
        <v>169</v>
      </c>
      <c r="B6" s="0" t="n">
        <f aca="false">COUNTIF(H2:H33,"✅")</f>
        <v>0</v>
      </c>
    </row>
    <row r="7" customFormat="false" ht="15" hidden="false" customHeight="false" outlineLevel="0" collapsed="false">
      <c r="A7" s="0" t="s">
        <v>170</v>
      </c>
      <c r="B7" s="8" t="n">
        <f aca="false">B6/B3</f>
        <v>0</v>
      </c>
    </row>
    <row r="9" customFormat="false" ht="15" hidden="false" customHeight="false" outlineLevel="0" collapsed="false">
      <c r="A9" s="0" t="s">
        <v>171</v>
      </c>
      <c r="B9" s="0" t="s">
        <v>172</v>
      </c>
    </row>
    <row r="10" customFormat="false" ht="15" hidden="false" customHeight="false" outlineLevel="0" collapsed="false">
      <c r="A10" s="0" t="s">
        <v>173</v>
      </c>
      <c r="B10" s="0" t="n">
        <f aca="false">COUNTIF($A$2:$A$33,"2024*")</f>
        <v>1</v>
      </c>
    </row>
    <row r="11" customFormat="false" ht="15" hidden="false" customHeight="false" outlineLevel="0" collapsed="false">
      <c r="A11" s="0" t="s">
        <v>174</v>
      </c>
      <c r="B11" s="0" t="n">
        <f aca="false">COUNTIF($A$2:$A$33,"2023*")</f>
        <v>1</v>
      </c>
    </row>
    <row r="12" customFormat="false" ht="15" hidden="false" customHeight="false" outlineLevel="0" collapsed="false">
      <c r="A12" s="0" t="s">
        <v>32</v>
      </c>
      <c r="B12" s="0" t="n">
        <f aca="false">COUNTIF($A$2:$A$33,"2022*")</f>
        <v>1</v>
      </c>
    </row>
    <row r="13" customFormat="false" ht="15" hidden="false" customHeight="false" outlineLevel="0" collapsed="false">
      <c r="A13" s="0" t="s">
        <v>35</v>
      </c>
      <c r="B13" s="0" t="n">
        <f aca="false">COUNTIF($A$2:$A$33,"2021*")</f>
        <v>1</v>
      </c>
    </row>
    <row r="14" customFormat="false" ht="15" hidden="false" customHeight="false" outlineLevel="0" collapsed="false">
      <c r="A14" s="0" t="s">
        <v>36</v>
      </c>
      <c r="B14" s="0" t="n">
        <f aca="false">COUNTIF($A$2:$A$33,"2020*")</f>
        <v>1</v>
      </c>
    </row>
    <row r="15" customFormat="false" ht="15" hidden="false" customHeight="false" outlineLevel="0" collapsed="false">
      <c r="A15" s="0" t="s">
        <v>175</v>
      </c>
      <c r="B15" s="0" t="n">
        <f aca="false">COUNTIF($A$2:$A$33,"&lt;2020")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2026-08-10T16:36:28Z</dcterms:created>
  <dc:creator>openpyxl</dc:creator>
  <dc:description/>
  <dc:language>en-US</dc:language>
  <cp:lastModifiedBy/>
  <dcterms:modified xsi:type="dcterms:W3CDTF">2026-08-10T16:36:28Z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